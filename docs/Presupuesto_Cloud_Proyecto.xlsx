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<sst xmlns="http://schemas.openxmlformats.org/spreadsheetml/2006/main" count="19" uniqueCount="19">
  <si>
    <t>PRESUPUESTO CLOUD PROYECTO</t>
  </si>
  <si>
    <t>CONCEPTO</t>
  </si>
  <si>
    <t>PROVEEDOR</t>
  </si>
  <si>
    <t>CANTIDAD</t>
  </si>
  <si>
    <t>PRECIO.UD €</t>
  </si>
  <si>
    <t>SUBTOTAL €</t>
  </si>
  <si>
    <t>TOTAL + IVA</t>
  </si>
  <si>
    <t xml:space="preserve">GANACIAS </t>
  </si>
  <si>
    <t>Servidor VPS</t>
  </si>
  <si>
    <t>AWS EC2</t>
  </si>
  <si>
    <t>Base de datos</t>
  </si>
  <si>
    <t>PostgreSQL cloud</t>
  </si>
  <si>
    <t>Almacenamiento SSD</t>
  </si>
  <si>
    <t>Google Cloud storage</t>
  </si>
  <si>
    <t>Transferencia red</t>
  </si>
  <si>
    <t>cloudflare</t>
  </si>
  <si>
    <t>Backup automatico</t>
  </si>
  <si>
    <t>digitalOcean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</si>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</sst>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8.0"/>
      <color rgb="FF000000"/>
      <name val="Arial"/>
      <scheme val="minor"/>
    </font>
    <font>
      <sz val="11.0"/>
      <color rgb="FF000000"/>
      <name val="Arial"/>
    </font>
    <font>
      <b/>
      <color theme="1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B7B7B7"/>
        <bgColor rgb="FFB7B7B7"/>
      </patternFill>
    </fill>
    <fill>
      <patternFill patternType="solid">
        <fgColor rgb="FF1155CC"/>
        <bgColor rgb="FF1155CC"/>
      </patternFill>
    </fill>
    <fill>
      <patternFill patternType="solid">
        <fgColor rgb="FFC9DAF8"/>
        <bgColor rgb="FFC9DAF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1" fillId="3" fontId="3" numFmtId="0" xfId="0" applyAlignment="1" applyBorder="1" applyFill="1" applyFont="1">
      <alignment readingOrder="0"/>
    </xf>
    <xf borderId="2" fillId="3" fontId="3" numFmtId="0" xfId="0" applyAlignment="1" applyBorder="1" applyFont="1">
      <alignment readingOrder="0"/>
    </xf>
    <xf borderId="0" fillId="3" fontId="3" numFmtId="0" xfId="0" applyAlignment="1" applyFont="1">
      <alignment readingOrder="0"/>
    </xf>
    <xf borderId="1" fillId="4" fontId="4" numFmtId="0" xfId="0" applyAlignment="1" applyBorder="1" applyFill="1" applyFont="1">
      <alignment readingOrder="0"/>
    </xf>
    <xf borderId="1" fillId="4" fontId="4" numFmtId="0" xfId="0" applyBorder="1" applyFont="1"/>
    <xf borderId="1" fillId="5" fontId="5" numFmtId="0" xfId="0" applyAlignment="1" applyBorder="1" applyFill="1" applyFont="1">
      <alignment readingOrder="0"/>
    </xf>
    <xf borderId="1" fillId="5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0</xdr:row>
      <xdr:rowOff>0</xdr:rowOff>
    </xdr:from>
    <xdr:ext cx="3857625" cy="1981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9.75"/>
    <col customWidth="1" min="3" max="3" width="20.88"/>
    <col customWidth="1" min="4" max="4" width="13.88"/>
  </cols>
  <sheetData>
    <row r="1">
      <c r="A1" s="1" t="s">
        <v>0</v>
      </c>
      <c r="H1" s="2"/>
      <c r="I1" s="2"/>
    </row>
    <row r="2">
      <c r="H2" s="2"/>
    </row>
    <row r="3">
      <c r="H3" s="2"/>
    </row>
    <row r="4">
      <c r="H4" s="2"/>
    </row>
    <row r="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4" t="s">
        <v>6</v>
      </c>
      <c r="G5" s="5" t="s">
        <v>7</v>
      </c>
      <c r="H5" s="2"/>
    </row>
    <row r="6">
      <c r="A6" s="6" t="s">
        <v>8</v>
      </c>
      <c r="B6" s="6" t="s">
        <v>9</v>
      </c>
      <c r="C6" s="6">
        <v>1.0</v>
      </c>
      <c r="D6" s="6">
        <v>24.99</v>
      </c>
      <c r="E6" s="7">
        <f t="shared" ref="E6:E10" si="1">C6*D6</f>
        <v>24.99</v>
      </c>
      <c r="F6" s="7">
        <f t="shared" ref="F6:F10" si="2"> E6*21%+E6</f>
        <v>30.2379</v>
      </c>
      <c r="G6" s="7">
        <f t="shared" ref="G6:G10" si="3"> F6 * 25%+F6</f>
        <v>37.797375</v>
      </c>
      <c r="H6" s="2"/>
    </row>
    <row r="7">
      <c r="A7" s="6" t="s">
        <v>10</v>
      </c>
      <c r="B7" s="6" t="s">
        <v>11</v>
      </c>
      <c r="C7" s="6">
        <v>1.0</v>
      </c>
      <c r="D7" s="6">
        <v>15.5</v>
      </c>
      <c r="E7" s="7">
        <f t="shared" si="1"/>
        <v>15.5</v>
      </c>
      <c r="F7" s="7">
        <f t="shared" si="2"/>
        <v>18.755</v>
      </c>
      <c r="G7" s="7">
        <f t="shared" si="3"/>
        <v>23.44375</v>
      </c>
      <c r="H7" s="2"/>
    </row>
    <row r="8">
      <c r="A8" s="6" t="s">
        <v>12</v>
      </c>
      <c r="B8" s="6" t="s">
        <v>13</v>
      </c>
      <c r="C8" s="6">
        <v>100.0</v>
      </c>
      <c r="D8" s="6">
        <v>0.1</v>
      </c>
      <c r="E8" s="7">
        <f t="shared" si="1"/>
        <v>10</v>
      </c>
      <c r="F8" s="7">
        <f t="shared" si="2"/>
        <v>12.1</v>
      </c>
      <c r="G8" s="7">
        <f t="shared" si="3"/>
        <v>15.125</v>
      </c>
      <c r="H8" s="2"/>
    </row>
    <row r="9">
      <c r="A9" s="6" t="s">
        <v>14</v>
      </c>
      <c r="B9" s="6" t="s">
        <v>15</v>
      </c>
      <c r="C9" s="6">
        <v>500.0</v>
      </c>
      <c r="D9" s="6">
        <v>0.02</v>
      </c>
      <c r="E9" s="7">
        <f t="shared" si="1"/>
        <v>10</v>
      </c>
      <c r="F9" s="7">
        <f t="shared" si="2"/>
        <v>12.1</v>
      </c>
      <c r="G9" s="7">
        <f t="shared" si="3"/>
        <v>15.125</v>
      </c>
      <c r="H9" s="2"/>
    </row>
    <row r="10">
      <c r="A10" s="6" t="s">
        <v>16</v>
      </c>
      <c r="B10" s="6" t="s">
        <v>17</v>
      </c>
      <c r="C10" s="6">
        <v>1.0</v>
      </c>
      <c r="D10" s="6">
        <v>8.0</v>
      </c>
      <c r="E10" s="7">
        <f t="shared" si="1"/>
        <v>8</v>
      </c>
      <c r="F10" s="7">
        <f t="shared" si="2"/>
        <v>9.68</v>
      </c>
      <c r="G10" s="7">
        <f t="shared" si="3"/>
        <v>12.1</v>
      </c>
      <c r="H10" s="2"/>
    </row>
    <row r="11">
      <c r="C11" s="8" t="s">
        <v>18</v>
      </c>
      <c r="D11" s="9">
        <f t="shared" ref="D11:G11" si="4">SUM(D6:D10)</f>
        <v>48.61</v>
      </c>
      <c r="E11" s="9">
        <f t="shared" si="4"/>
        <v>68.49</v>
      </c>
      <c r="F11" s="9">
        <f t="shared" si="4"/>
        <v>82.8729</v>
      </c>
      <c r="G11" s="9">
        <f t="shared" si="4"/>
        <v>103.591125</v>
      </c>
    </row>
  </sheetData>
  <mergeCells count="2">
    <mergeCell ref="I1:L10"/>
    <mergeCell ref="A1:G4"/>
  </mergeCells>
  <drawing r:id="rId1"/>
</worksheet>
</file>